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dmin\Desktop\baitap\tuan6\26120072\"/>
    </mc:Choice>
  </mc:AlternateContent>
  <xr:revisionPtr revIDLastSave="0" documentId="13_ncr:1_{12183116-3FBB-414B-87C6-FA2D5D10EFBF}"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<sst xmlns="http://schemas.openxmlformats.org/spreadsheetml/2006/main" count="108" uniqueCount="101">
  <si>
    <t>DETAILED AI AUDIT LOG</t>
  </si>
  <si>
    <t>INSTRUCTIONS: Chỉ ghi CORE PROMPTS (Decision/Problem-Solving/Verification). Mỗi entry phải trả lời đầy đủ 4 câu hỏi trong Human Delta.</t>
  </si>
  <si>
    <t>Entry #</t>
  </si>
  <si>
    <t>Prompt Techinque</t>
  </si>
  <si>
    <t>Problem/Context</t>
  </si>
  <si>
    <t>Prompt to AI</t>
  </si>
  <si>
    <t>Prompt Analysis</t>
  </si>
  <si>
    <t>AI Response (Summary)</t>
  </si>
  <si>
    <t>AI Response Analysis</t>
  </si>
  <si>
    <t>Evidence</t>
  </si>
  <si>
    <t>001</t>
  </si>
  <si>
    <t>RCAF</t>
  </si>
  <si>
    <t>Chuyển tài liệu Markdown NumPy  thành bài thuyết trình 20–25 slide tiếng Việt, 16:9, có bảng/sơ đồ/code/references, slide số; file phải mở và chỉnh sửa được, không dùng ảnh chụp slide.</t>
  </si>
  <si>
    <t>Prompt đặt đủ RCAF: Role = AI dùng skill @pptx-creator như chuyên gia thiết kế slide học thuật; Context = tài liệu NumPy 24 slide và yêu cầu bài thuyết trình; Action = đọc nguồn, map nội dung sang 20–25 slide, dựng native, render và kiểm tra; Format = tiếng Việt, 16:9, title 28–36pt, body 18–24pt, bảng/sơ đồ/code/references/số slide, không ảnh chụp slide. Các ràng buộc "không bịa", "không sửa Markdown", "không tuyên bố animation nếu chưa có" tạo tiêu chí kiểm chứng rõ.</t>
  </si>
  <si>
    <t>AI dựng deck 25 slide (24 slide theo dàn ý + references), tiếng Việt, 16:9, PptxGenJS; text/bảng/sơ đồ native, 25 speaker notes, 4 bảng native, logo NumPy, slide số; render 25 PNG qua PowerPoint COM, sửa một số lỗi bố cục. Tuy nhiên font nội dung thực tế 10–13pt, tiêu đề mục nhỏ 17–18pt, tiêu đề slide 28pt, thấp hơn guideline 18–24pt trong prompt nên chữ nhỏ khi chiếu.</t>
  </si>
  <si>
    <t>Critical Thinking: Deck đủ 25 slide và bám nguồn, nhưng AI bỏ qua guideline chữ 18–24pt mà chính prompt nêu; 10–13pt không đọc được khi chiếu. Render thành công không đồng nghĩa đạt readability.
Contextualization: Đây là bài thuyết trình, người nghe ở xa; phải ưu tiên chữ đọc được, không nhồi đủ chữ. Cần giữ nội dung nhưng giảm mật độ.
Creative Synthesis: Không tăng font máy móc vì sẽ tràn; phải reflow card/bảng/sơ đồ, rút gọn câu, tách code và output, dùng cỡ kỹ thuật riêng cho code/bảng/reference.
Decision: Giữ cấu trúc/nội dung deck; đánh dấu typography là lỗi cần sửa và chuyển sang prompt 002 để nâng cỡ chữ có kiểm soát.</t>
  </si>
  <si>
    <t>002</t>
  </si>
  <si>
    <t>Critical Thinking: Tăng font trực tiếp sẽ tràn vì deck dày; phải đổi layout, không chỉ đổi số pt. Cần phân biệt body với code/bảng/nhãn để không biến mọi thứ thành 20pt.
Contextualization: Mục tiêu là đọc được từ xa trong phòng học, không giữ nguyên mật độ. Lỗi nằm ở readability, không phải nội dung.
Creative Synthesis: Reflow 25 slide, tăng card, rút gọn copy, giữ bảng native, dùng thang cỡ kỹ thuật cho code/bảng/reference; kiểm tra bằng render thật.
Decision: Chấp nhận phương án reflow; xác nhận body 20, heading 25, title 32; giữ bản cũ presentation-smallfont.pptx để so sánh.</t>
  </si>
  <si>
    <t>003</t>
  </si>
  <si>
    <t>Critical Thinking: Ví dụ cũ đúng cú pháp nhưng so sánh phép lặp list với phép nhân array — không phải cùng một phép toán, nên không làm rõ "vì sao dùng NumPy". Đây là lỗi chọn ví dụ/ngữ cảnh, không phải bịa dữ kiện.
Contextualization: Slide 4 cần minh họa lợi ích vector hóa (viết ngắn, áp cho cả mảng), không phải dạy sự khác nhau list/array; phần đó đã có ở slide 8.
Creative Synthesis: Chọn bài toán cộng điểm thưởng quen thuộc, cùng một phép cộng trên cả mảng; đặt cạnh nhau để thấy comprehension vs d + 0.5, giữ số liệu đơn giản và kiểm chứng được.
Decision: Thay ví dụ ở slide 4 và A.2; giữ so sánh list/array ở slide 8; render lại và xác nhận không tràn.</t>
  </si>
  <si>
    <t>AI AUDIT LOG - METADATA &amp; SUMMARY</t>
  </si>
  <si>
    <t>STUDENT INFORMATION</t>
  </si>
  <si>
    <t>Student Name:</t>
  </si>
  <si>
    <t>Vũ Quí Đức</t>
  </si>
  <si>
    <t>Student ID:</t>
  </si>
  <si>
    <t>Course:</t>
  </si>
  <si>
    <t>Nhập môn Công Nghệ thông tin</t>
  </si>
  <si>
    <t>Assignment:</t>
  </si>
  <si>
    <t>Bài tập tuần 6 – Thuyết trình NumPy</t>
  </si>
  <si>
    <t>AI USAGE SUMMARY</t>
  </si>
  <si>
    <t>Total Prompts Used (all AI tools):</t>
  </si>
  <si>
    <t>Core Prompts Logged:</t>
  </si>
  <si>
    <t>Selection Ratio:</t>
  </si>
  <si>
    <t>Should be 10-20%</t>
  </si>
  <si>
    <t>Hallucination Detected:</t>
  </si>
  <si>
    <t>2/20 prompts (font + context)</t>
  </si>
  <si>
    <t>AI TOOLS USED</t>
  </si>
  <si>
    <t>AI Tool</t>
  </si>
  <si>
    <t>Purpose</t>
  </si>
  <si>
    <t>Frequency</t>
  </si>
  <si>
    <t>Main Value</t>
  </si>
  <si>
    <t>Tạo, chỉnh sửa, render và kiểm chứng slide PowerPoint từ tài liệu Markdown</t>
  </si>
  <si>
    <t>Thiết kế native, render và QA tự động</t>
  </si>
  <si>
    <t>CORE PROMPTS DISTRIBUTION BY TECHNIQUES</t>
  </si>
  <si>
    <t>Prompt Technique</t>
  </si>
  <si>
    <t>Number of Prompts</t>
  </si>
  <si>
    <t>Required (Min)</t>
  </si>
  <si>
    <t>HALLUCINATION DETECTION LOG (BẮT BUỘC)</t>
  </si>
  <si>
    <t>Entry # (from Sheet 2)</t>
  </si>
  <si>
    <t>Hallucination Type</t>
  </si>
  <si>
    <t>AI's Claim</t>
  </si>
  <si>
    <t>Reality Check</t>
  </si>
  <si>
    <t>How Detected</t>
  </si>
  <si>
    <t>Corrective Action</t>
  </si>
  <si>
    <t>Context Misunderstanding</t>
  </si>
  <si>
    <t>Ví dụ [1, 2, 3, 4] * 2 (list) so với np.array([1, 2, 3, 4]) * 2 (ndarray) là cách phù hợp để giải thích "NumPy giải quyết vấn đề gì".</t>
  </si>
  <si>
    <t>Hai ví dụ đúng cú pháp nhưng không cùng phép toán: list * 2 là lặp, ndarray * 2 là nhân từng phần tử. Cách so sánh không trả lời câu hỏi của slide và khiến người đọc hiểu nhầm là so sánh kiểu dữ liệu.</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</si>
  <si>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</si>
  <si>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</si>
  <si>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</si>
  <si>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</si>
  <si>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</si>
  <si>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</si>
  <si>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</si>
  <si>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</si>
  <si>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</si>
  <si>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</si>
  <si>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</si>
  <si>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</si>
  <si>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</si>
  <si>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</si>
  <si>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</si>
  <si>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</si>
  <si>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</si>
  <si>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</si>
  <si>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Rebuild/reflow toàn bộ 25 slide thay vì scale đồng loạt: body 20pt, lead 22pt, đề mục nhỏ 25pt, tiêu đề lớn 32pt; giữ cỡ kỹ thuật 13–17,5pt cho code/bảng/diagram; sửa tràn slides 3, 7–12, 15–17, 19, 20, 25; render và QA lại 0 lỗi/0 cảnh báo;</t>
  </si>
  <si>
    <t>Thay bằng ví dụ cộng 0,5 điểm cho cả mảng: [x + 0.5 for x in d] vs d + 0.5; giữ nguyên phần so sánh list/array ở slide 8, build PowerPoint lại; render/QA lại.</t>
  </si>
  <si>
    <t>kiểm tra trong presentation-smallfont.pptx: nội dung chủ lực 8,5–13,5pt (đa số 8,5–12pt), đề mục nhỏ ~16–17pt, tiêu đề lớn 28pt. Chỉ caption/nhãn nguồn/reference mới là 8,0–8,3pt, nên cách gọi “chữ phụ” đã che đi việc nội dung chính không đạt mục tiêu 18–24pt.  mở file và cũng chỉ ra nội dung chỉ khoảng 10–13pt.</t>
  </si>
  <si>
    <t>Tóm tắt prompt gốc : dùng @pptx-creator chuyển tuan6/NumPy_Tai_Lieu_Nen_PowerPoint.md thành tuan6/presentation.pptx tiếng Việt, 20–25 slide, 16:9, học thuật và có thể chỉnh sửa. Đọc toàn bộ nguồn; giữ facts/định nghĩa/ví dụ/code/bảng/references; không bịa; cô đọng prose thành bullet; dùng dàn ý 24 slide làm mặc định. Thiết kế theme nhất quán, native text/shape/table, code monospace, title 28–36pt, body 18–24pt, slide số, references slide. Render toàn bộ, kiểm tra overflow/clipping/overlap/contrast/ảnh lỗi rồi sửa; không tuyên bố animation nếu chưa tạo; không sửa Markdown gốc. Deliverable: deck 20–25 slide</t>
  </si>
  <si>
    <t>Sau khi xem file,  thấy font quá bé khi chiếu: nội dung 10–13pt, tiêu đề mục nhỏ 17–18pt, tiêu đề lớn 28pt. Cần nâng thành 20–22 / 25–26 / 32pt, vẫn giữ 25 slide, 16:9, nội dung, bảng/sơ đồ và khả năng chỉnh sửa; không tràn/chồng chữ.</t>
  </si>
  <si>
    <t>Sau khi nâng font, slide 4 vẫn dùng ví dụ [1, 2, 3, 4] * 2 (list) so với np.array([1, 2, 3, 4]) * 2 (ndarray).  thấy khó hiểu vì sao lại so sánh list với array trong mục "NumPy giải quyết vấn đề gì"; cần ví dụ khác phù hợp mạch hơn, sửa cả Markdown và PowerPoint.</t>
  </si>
  <si>
    <t>Prompt nêu đúng phạm vi (slide 4, cả Markdown và PowerPoint) và yêu cầu thay bằng ví dụ phù hợp ngữ cảnh, không chỉ sửa câu chữ. Đây là verification/context correction:  chỉ ra phép so sánh không trả lời câu hỏi của slide, buộc AI phải xem lại mục tiêu sư phạm trước khi chọn ví dụ.</t>
  </si>
  <si>
    <t>chỉnh lại font chữ như sau : trong powerpoint của tôi hiện tại để font chữ nội dung ở cỡ rất nhỏ chỉ có từ 10- 13 và font chữ đề mục nhỏ trong các ô thì khoảng 17 -18 và font chữ đề mục lớn khoảng 28,tôi yêu cầu bạn nên nâng kích cỡ của font chữ nội dung từ 10 - 13 lên cỡ 20-22, font đề mục nhỏ từ 17 -18 lên 25- 26, font đề mục lớn từ 28 lên 32</t>
  </si>
  <si>
    <t>Prompt là correction dạng RCAF ngầm: Role đã được quy định trước đó, Context = file hiện tại và các cỡ chữ cụ thể; Action = nâng đúng ba nhóm font; Format = dải 20–22 / 25–26 / 32, giữ bố cục và nội dung. Việc nêu cả cỡ cũ và cỡ mới tạo tiêu chí đo được, tránh AI chỉ tăng nhẹ hoặc tăng đồng loạt.</t>
  </si>
  <si>
    <t>presentation.pptx</t>
  </si>
  <si>
    <t>slide 4 presentation.pptx</t>
  </si>
  <si>
    <t>Prompt yêu cầu rõ ràng: tiêu đề 28–36pt, nội dung 18–24pt; bản deck đầu tiên vẫn được bàn giao là “đã hoàn thành” và chỉ đề cập cảnh báo nhỏ về “chữ phụ 8,0–8,3pt”.</t>
  </si>
  <si>
    <t>kiểm tra presentation-smallfont.pptx và yêu cầu chỉnh font.</t>
  </si>
  <si>
    <t>Đọc lại slide 4; đối chiếu với mục tiêu "vì sao dùng NumPy" và với slide 8 (nơi list/array được so sánh đúng chỗ);  phản hồi trực tiếp.</t>
  </si>
  <si>
    <t>AI rebuild toàn bộ 25 slide, không scale đồng loạt: body 20, lead 22, heading card 25, title slide 32, cover 48; code/bảng/nhãn/reference 13–17,5pt. Tăng chiều cao card, rút gọn câu, sắp xếp lại bảng/sơ đồ; render 1920×1080, kiểm tra từng slide, sửa tràn ở slide 3, 7–12, 15–17, 19, 20, 25, 25 slide, 25 notes, 16:9.</t>
  </si>
  <si>
    <t>ở slide số 4 trong tài liệu markdown lẫn powerpoint, phần ví dụ tôi không hiểu vì sao lại so sánh python list và numpy array, hãy tìm 1 ví dụ khác phù hợp hơn với ngữ cảnh đang nói, chỉnh ở file powerpoint hiện tại và tạo backup.</t>
  </si>
  <si>
    <t>AI đổi sang ví dụ cộng 0,5 điểm thưởng cho 5 đầu điểm 8.0, 7.5, 9.0, 6.5, 8.5: cách thủ công dùng comprehension [x + 0.5 for x in d] → [8.5, 8.0, 9.5, 7.0, 9.0]; NumPy dùng d + 0.5 → [8.5 8.  9.5 7.  9. ]. Cập nhật Markdown Slide 4 + A.2, build.js, speaker notes và presentation.pptx; render lại slide 4, tạo backup thành công</t>
  </si>
  <si>
    <t>Few shot</t>
  </si>
  <si>
    <t>&gt;= 25</t>
  </si>
  <si>
    <t>≥ 50</t>
  </si>
  <si>
    <t>Chatgpt</t>
  </si>
  <si>
    <t>Chatgpt, skill @pptx-creator</t>
  </si>
  <si>
    <t>Medium</t>
  </si>
  <si>
    <t>High</t>
  </si>
  <si>
    <t>Sửa 1 số lỗi trong powerpoint</t>
  </si>
  <si>
    <t>Sửa các lỗi trình bày nhỏ trong slide, chỉnh cỡ chữ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</si>
</sst>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amily val="2"/>
      <charset val="1"/>
    </font>
    <font>
      <b/>
      <sz val="16"/>
      <color rgb="FF2E75B6"/>
      <name val="Calibri"/>
      <charset val="1"/>
    </font>
    <font>
      <b/>
      <sz val="14"/>
      <color rgb="FF2E75B6"/>
      <name val="Calibri"/>
      <charset val="1"/>
    </font>
    <font>
      <b/>
      <sz val="11"/>
      <name val="Calibri"/>
      <charset val="1"/>
    </font>
    <font>
      <i/>
      <sz val="9"/>
      <color rgb="FF666666"/>
      <name val="Calibri"/>
      <charset val="1"/>
    </font>
    <font>
      <b/>
      <sz val="11"/>
      <color rgb="FFFFFFFF"/>
      <name val="Calibri"/>
      <charset val="1"/>
    </font>
    <font>
      <i/>
      <sz val="10"/>
      <color rgb="FF666666"/>
      <name val="Calibri"/>
      <charset val="1"/>
    </font>
    <font>
      <b/>
      <sz val="16"/>
      <color rgb="FFFF0000"/>
      <name val="Calibri"/>
      <charset val="1"/>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
      <patternFill patternType="solid">
        <fgColor theme="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0" fillId="5" borderId="1" xfId="0" applyFill="1" applyBorder="1" applyAlignment="1">
      <alignment horizontal="center" vertical="center" wrapText="1"/>
    </xf>
    <xf numFmtId="9" fontId="0" fillId="2" borderId="0" xfId="0" applyNumberFormat="1" applyFill="1"/>
    <xf numFmtId="0" fontId="0" fillId="0" borderId="0" xfId="0" applyAlignment="1">
      <alignment horizontal="left"/>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6" zoomScaleNormal="100" workbookViewId="0">
      <selection activeCell="C18" sqref="C18"/>
    </sheetView>
  </sheetViews>
  <sheetFormatPr defaultColWidth="8.5546875" defaultRowHeight="14.4" x14ac:dyDescent="0.3"/>
  <cols>
    <col min="1" max="1" width="25" customWidth="1"/>
    <col min="2" max="2" width="40" customWidth="1"/>
    <col min="3" max="3" width="15" customWidth="1"/>
    <col min="4" max="4" width="30" customWidth="1"/>
    <col min="5" max="6" width="20" customWidth="1"/>
  </cols>
  <sheetData>
    <row r="1" spans="1:6" ht="14.25" customHeight="1" x14ac:dyDescent="0.3">
      <c r="A1" s="14" t="s">
        <v>20</v>
      </c>
      <c r="B1" s="15"/>
      <c r="C1" s="15"/>
      <c r="D1" s="15"/>
      <c r="E1" s="15"/>
      <c r="F1" s="15"/>
    </row>
    <row r="3" spans="1:6" ht="18" customHeight="1" x14ac:dyDescent="0.35">
      <c r="A3" s="1" t="s">
        <v>21</v>
      </c>
    </row>
    <row r="4" spans="1:6" x14ac:dyDescent="0.3">
      <c r="A4" s="2" t="s">
        <v>22</v>
      </c>
      <c r="C4" t="s">
        <v>23</v>
      </c>
    </row>
    <row r="5" spans="1:6" x14ac:dyDescent="0.3">
      <c r="A5" s="2" t="s">
        <v>24</v>
      </c>
      <c r="C5" s="13">
        <v>26120072</v>
      </c>
    </row>
    <row r="6" spans="1:6" x14ac:dyDescent="0.3">
      <c r="A6" s="2" t="s">
        <v>25</v>
      </c>
      <c r="C6" t="s">
        <v>26</v>
      </c>
    </row>
    <row r="7" spans="1:6" x14ac:dyDescent="0.3">
      <c r="A7" s="2" t="s">
        <v>27</v>
      </c>
      <c r="C7" t="s">
        <v>28</v>
      </c>
    </row>
    <row r="9" spans="1:6" ht="18" customHeight="1" x14ac:dyDescent="0.35">
      <c r="A9" s="1" t="s">
        <v>29</v>
      </c>
    </row>
    <row r="10" spans="1:6" x14ac:dyDescent="0.3">
      <c r="A10" s="2" t="s">
        <v>30</v>
      </c>
      <c r="C10">
        <v>20</v>
      </c>
    </row>
    <row r="11" spans="1:6" x14ac:dyDescent="0.3">
      <c r="A11" s="2" t="s">
        <v>31</v>
      </c>
      <c r="C11" s="3">
        <v>3</v>
      </c>
    </row>
    <row r="12" spans="1:6" x14ac:dyDescent="0.3">
      <c r="A12" s="2" t="s">
        <v>32</v>
      </c>
      <c r="C12" s="4">
        <f>C11/C10</f>
        <v>0.15</v>
      </c>
      <c r="E12" s="5" t="s">
        <v>33</v>
      </c>
    </row>
    <row r="13" spans="1:6" ht="18" customHeight="1" x14ac:dyDescent="0.3">
      <c r="A13" s="2" t="s">
        <v>34</v>
      </c>
      <c r="C13" s="12">
        <v>0.1</v>
      </c>
      <c r="E13" s="5" t="s">
        <v>35</v>
      </c>
    </row>
    <row r="15" spans="1:6" ht="18" customHeight="1" x14ac:dyDescent="0.35">
      <c r="A15" s="1" t="s">
        <v>36</v>
      </c>
    </row>
    <row r="16" spans="1:6" x14ac:dyDescent="0.3">
      <c r="A16" s="6" t="s">
        <v>37</v>
      </c>
      <c r="B16" s="6" t="s">
        <v>38</v>
      </c>
      <c r="C16" s="6" t="s">
        <v>39</v>
      </c>
      <c r="D16" s="6" t="s">
        <v>40</v>
      </c>
    </row>
    <row r="17" spans="1:4" ht="34.049999999999997" customHeight="1" x14ac:dyDescent="0.3">
      <c r="A17" s="7" t="s">
        <v>96</v>
      </c>
      <c r="B17" s="7" t="s">
        <v>41</v>
      </c>
      <c r="C17" s="7" t="s">
        <v>97</v>
      </c>
      <c r="D17" s="7" t="s">
        <v>42</v>
      </c>
    </row>
    <row r="18" spans="1:4" ht="28.8" x14ac:dyDescent="0.3">
      <c r="A18" t="s">
        <v>95</v>
      </c>
      <c r="B18" t="s">
        <v>99</v>
      </c>
      <c r="C18" s="7" t="s">
        <v>98</v>
      </c>
      <c r="D18" s="7" t="s">
        <v>100</v>
      </c>
    </row>
    <row r="19" spans="1:4" x14ac:dyDescent="0.3">
      <c r="B19" s="7"/>
      <c r="C19" s="7"/>
      <c r="D19" s="7"/>
    </row>
    <row r="20" spans="1:4" x14ac:dyDescent="0.3">
      <c r="A20" s="7"/>
      <c r="B20" s="7"/>
      <c r="C20" s="7"/>
      <c r="D20" s="7"/>
    </row>
    <row r="22" spans="1:4" ht="18" customHeight="1" x14ac:dyDescent="0.35">
      <c r="A22" s="1" t="s">
        <v>43</v>
      </c>
    </row>
    <row r="23" spans="1:4" x14ac:dyDescent="0.3">
      <c r="A23" s="6" t="s">
        <v>44</v>
      </c>
      <c r="B23" s="6" t="s">
        <v>45</v>
      </c>
      <c r="C23" s="6" t="s">
        <v>46</v>
      </c>
    </row>
    <row r="24" spans="1:4" x14ac:dyDescent="0.3">
      <c r="A24" s="7" t="s">
        <v>11</v>
      </c>
      <c r="B24" s="8">
        <v>3</v>
      </c>
      <c r="C24" s="9" t="s">
        <v>94</v>
      </c>
    </row>
    <row r="25" spans="1:4" x14ac:dyDescent="0.3">
      <c r="A25" s="7" t="s">
        <v>92</v>
      </c>
      <c r="B25" s="11">
        <v>17</v>
      </c>
      <c r="C25" s="9" t="s">
        <v>93</v>
      </c>
    </row>
    <row r="26" spans="1:4" x14ac:dyDescent="0.3">
      <c r="A26" s="7"/>
      <c r="B26" s="11"/>
      <c r="C26" s="9"/>
    </row>
    <row r="27" spans="1:4" x14ac:dyDescent="0.3">
      <c r="A27" s="7"/>
      <c r="B27" s="11"/>
      <c r="C27" s="9"/>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C1" zoomScale="85" zoomScaleNormal="85" workbookViewId="0">
      <selection activeCell="E4" sqref="E4"/>
    </sheetView>
  </sheetViews>
  <sheetFormatPr defaultColWidth="8.5546875" defaultRowHeight="14.4" x14ac:dyDescent="0.3"/>
  <cols>
    <col min="1" max="1" width="8" customWidth="1"/>
    <col min="2" max="2" width="18" customWidth="1"/>
    <col min="3" max="3" width="30" customWidth="1"/>
    <col min="4" max="5" width="40" customWidth="1"/>
    <col min="6" max="6" width="45" customWidth="1"/>
    <col min="7" max="7" width="55" customWidth="1"/>
    <col min="8" max="8" width="28" customWidth="1"/>
  </cols>
  <sheetData>
    <row r="1" spans="1:8" ht="19.649999999999999" customHeight="1" x14ac:dyDescent="0.3">
      <c r="A1" s="14" t="s">
        <v>0</v>
      </c>
      <c r="B1" s="15"/>
      <c r="C1" s="15"/>
      <c r="D1" s="15"/>
      <c r="E1" s="15"/>
      <c r="F1" s="15"/>
      <c r="G1" s="15"/>
      <c r="H1" s="15"/>
    </row>
    <row r="2" spans="1:8" ht="30" customHeight="1" x14ac:dyDescent="0.3">
      <c r="A2" s="16" t="s">
        <v>1</v>
      </c>
      <c r="B2" s="15"/>
      <c r="C2" s="15"/>
      <c r="D2" s="15"/>
      <c r="E2" s="15"/>
      <c r="F2" s="15"/>
      <c r="G2" s="15"/>
      <c r="H2" s="15"/>
    </row>
    <row r="3" spans="1:8" ht="39.75" customHeight="1" x14ac:dyDescent="0.3">
      <c r="A3" s="6" t="s">
        <v>2</v>
      </c>
      <c r="B3" s="6" t="s">
        <v>3</v>
      </c>
      <c r="C3" s="6" t="s">
        <v>4</v>
      </c>
      <c r="D3" s="6" t="s">
        <v>5</v>
      </c>
      <c r="E3" s="6" t="s">
        <v>6</v>
      </c>
      <c r="F3" s="6" t="s">
        <v>7</v>
      </c>
      <c r="G3" s="6" t="s">
        <v>8</v>
      </c>
      <c r="H3" s="6" t="s">
        <v>9</v>
      </c>
    </row>
    <row r="4" spans="1:8" ht="259.95" customHeight="1" x14ac:dyDescent="0.3">
      <c r="A4" s="7" t="s">
        <v>10</v>
      </c>
      <c r="B4" s="7" t="s">
        <v>11</v>
      </c>
      <c r="C4" s="7" t="s">
        <v>12</v>
      </c>
      <c r="D4" s="7" t="s">
        <v>78</v>
      </c>
      <c r="E4" s="7" t="s">
        <v>13</v>
      </c>
      <c r="F4" s="7" t="s">
        <v>14</v>
      </c>
      <c r="G4" s="7" t="s">
        <v>15</v>
      </c>
      <c r="H4" s="7" t="e" vm="1">
        <v>#VALUE!</v>
      </c>
    </row>
    <row r="5" spans="1:8" ht="190.05" customHeight="1" x14ac:dyDescent="0.3">
      <c r="A5" s="7" t="s">
        <v>16</v>
      </c>
      <c r="B5" s="7" t="s">
        <v>11</v>
      </c>
      <c r="C5" s="7" t="s">
        <v>79</v>
      </c>
      <c r="D5" s="7" t="s">
        <v>82</v>
      </c>
      <c r="E5" s="7" t="s">
        <v>83</v>
      </c>
      <c r="F5" s="7" t="s">
        <v>89</v>
      </c>
      <c r="G5" s="7" t="s">
        <v>17</v>
      </c>
      <c r="H5" s="7" t="s">
        <v>84</v>
      </c>
    </row>
    <row r="6" spans="1:8" ht="210" customHeight="1" x14ac:dyDescent="0.3">
      <c r="A6" s="7" t="s">
        <v>18</v>
      </c>
      <c r="B6" s="7" t="s">
        <v>11</v>
      </c>
      <c r="C6" s="7" t="s">
        <v>80</v>
      </c>
      <c r="D6" s="7" t="s">
        <v>90</v>
      </c>
      <c r="E6" s="7" t="s">
        <v>81</v>
      </c>
      <c r="F6" s="7" t="s">
        <v>91</v>
      </c>
      <c r="G6" s="7" t="s">
        <v>19</v>
      </c>
      <c r="H6" s="7" t="s">
        <v>85</v>
      </c>
    </row>
    <row r="7" spans="1:8" ht="79.5" customHeight="1" x14ac:dyDescent="0.3">
      <c r="A7" s="7"/>
      <c r="B7" s="7"/>
      <c r="C7" s="7"/>
      <c r="D7" s="7"/>
      <c r="E7" s="7"/>
      <c r="F7" s="7"/>
      <c r="G7" s="7"/>
      <c r="H7" s="7"/>
    </row>
    <row r="8" spans="1:8" ht="79.5" customHeight="1" x14ac:dyDescent="0.3">
      <c r="A8" s="7"/>
      <c r="B8" s="7"/>
      <c r="C8" s="7"/>
      <c r="D8" s="7"/>
      <c r="E8" s="7"/>
      <c r="F8" s="7"/>
      <c r="G8" s="7"/>
      <c r="H8" s="7"/>
    </row>
    <row r="9" spans="1:8" ht="79.5" customHeight="1" x14ac:dyDescent="0.3">
      <c r="A9" s="7"/>
      <c r="B9" s="7"/>
      <c r="C9" s="7"/>
      <c r="D9" s="7"/>
      <c r="E9" s="7"/>
      <c r="F9" s="7"/>
      <c r="G9" s="7"/>
      <c r="H9" s="7"/>
    </row>
    <row r="10" spans="1:8" ht="79.5" customHeight="1" x14ac:dyDescent="0.3">
      <c r="A10" s="7"/>
      <c r="B10" s="7"/>
      <c r="C10" s="7"/>
      <c r="D10" s="7"/>
      <c r="E10" s="7"/>
      <c r="F10" s="7"/>
      <c r="G10" s="7"/>
      <c r="H10" s="7"/>
    </row>
    <row r="11" spans="1:8" ht="79.5" customHeight="1" x14ac:dyDescent="0.3">
      <c r="A11" s="7"/>
      <c r="B11" s="7"/>
      <c r="C11" s="7"/>
      <c r="D11" s="7"/>
      <c r="E11" s="7"/>
      <c r="F11" s="7"/>
      <c r="G11" s="7"/>
      <c r="H11" s="7"/>
    </row>
    <row r="12" spans="1:8" ht="79.5" customHeight="1" x14ac:dyDescent="0.3">
      <c r="A12" s="7"/>
      <c r="B12" s="7"/>
      <c r="C12" s="7"/>
      <c r="D12" s="7"/>
      <c r="E12" s="7"/>
      <c r="F12" s="7"/>
      <c r="G12" s="7"/>
      <c r="H12" s="7"/>
    </row>
    <row r="13" spans="1:8" ht="79.5" customHeight="1" x14ac:dyDescent="0.3">
      <c r="A13" s="7"/>
      <c r="B13" s="7"/>
      <c r="C13" s="7"/>
      <c r="D13" s="7"/>
      <c r="E13" s="7"/>
      <c r="F13" s="7"/>
      <c r="G13" s="7"/>
      <c r="H13" s="7"/>
    </row>
    <row r="14" spans="1:8" ht="79.5" customHeight="1" x14ac:dyDescent="0.3">
      <c r="A14" s="7"/>
      <c r="B14" s="7"/>
      <c r="C14" s="7"/>
      <c r="D14" s="7"/>
      <c r="E14" s="7"/>
      <c r="F14" s="7"/>
      <c r="G14" s="7"/>
      <c r="H14" s="7"/>
    </row>
    <row r="15" spans="1:8" ht="79.5" customHeight="1" x14ac:dyDescent="0.3">
      <c r="A15" s="7"/>
      <c r="B15" s="7"/>
      <c r="C15" s="7"/>
      <c r="D15" s="7"/>
      <c r="E15" s="7"/>
      <c r="F15" s="7"/>
      <c r="G15" s="7"/>
      <c r="H15" s="7"/>
    </row>
    <row r="16" spans="1:8" ht="79.5" customHeight="1" x14ac:dyDescent="0.3">
      <c r="A16" s="7"/>
      <c r="B16" s="7"/>
      <c r="C16" s="7"/>
      <c r="D16" s="7"/>
      <c r="E16" s="7"/>
      <c r="F16" s="7"/>
      <c r="G16" s="7"/>
      <c r="H16" s="7"/>
    </row>
    <row r="17" spans="1:8" ht="79.5" customHeight="1" x14ac:dyDescent="0.3">
      <c r="A17" s="7"/>
      <c r="B17" s="7"/>
      <c r="C17" s="7"/>
      <c r="D17" s="7"/>
      <c r="E17" s="7"/>
      <c r="F17" s="7"/>
      <c r="G17" s="7"/>
      <c r="H17" s="7"/>
    </row>
    <row r="18" spans="1:8" ht="79.5" customHeight="1" x14ac:dyDescent="0.3">
      <c r="A18" s="7"/>
      <c r="B18" s="7"/>
      <c r="C18" s="7"/>
      <c r="D18" s="7"/>
      <c r="E18" s="7"/>
      <c r="F18" s="7"/>
      <c r="G18" s="7"/>
      <c r="H18" s="7"/>
    </row>
    <row r="19" spans="1:8" ht="79.5" customHeight="1" x14ac:dyDescent="0.3">
      <c r="A19" s="7"/>
      <c r="B19" s="7"/>
      <c r="C19" s="7"/>
      <c r="D19" s="7"/>
      <c r="E19" s="7"/>
      <c r="F19" s="7"/>
      <c r="G19" s="7"/>
      <c r="H19" s="7"/>
    </row>
    <row r="20" spans="1:8" ht="79.5" customHeight="1" x14ac:dyDescent="0.3">
      <c r="A20" s="7"/>
      <c r="B20" s="7"/>
      <c r="C20" s="7"/>
      <c r="D20" s="7"/>
      <c r="E20" s="7"/>
      <c r="F20" s="7"/>
      <c r="G20" s="7"/>
      <c r="H20" s="7"/>
    </row>
    <row r="21" spans="1:8" ht="79.5" customHeight="1" x14ac:dyDescent="0.3">
      <c r="A21" s="7"/>
      <c r="B21" s="7"/>
      <c r="C21" s="7"/>
      <c r="D21" s="7"/>
      <c r="E21" s="7"/>
      <c r="F21" s="7"/>
      <c r="G21" s="7"/>
      <c r="H21" s="7"/>
    </row>
    <row r="22" spans="1:8" ht="79.5" customHeight="1" x14ac:dyDescent="0.3">
      <c r="A22" s="7"/>
      <c r="B22" s="7"/>
      <c r="C22" s="7"/>
      <c r="D22" s="7"/>
      <c r="E22" s="7"/>
      <c r="F22" s="7"/>
      <c r="G22" s="7"/>
      <c r="H22" s="7"/>
    </row>
    <row r="23" spans="1:8" ht="79.5" customHeight="1" x14ac:dyDescent="0.3">
      <c r="A23" s="7"/>
      <c r="B23" s="7"/>
      <c r="C23" s="7"/>
      <c r="D23" s="7"/>
      <c r="E23" s="7"/>
      <c r="F23" s="7"/>
      <c r="G23" s="7"/>
      <c r="H23" s="7"/>
    </row>
    <row r="24" spans="1:8" ht="79.5" customHeight="1" x14ac:dyDescent="0.3">
      <c r="A24" s="7"/>
      <c r="B24" s="7"/>
      <c r="C24" s="7"/>
      <c r="D24" s="7"/>
      <c r="E24" s="7"/>
      <c r="F24" s="7"/>
      <c r="G24" s="7"/>
      <c r="H24" s="7"/>
    </row>
    <row r="25" spans="1:8" ht="79.5" customHeight="1" x14ac:dyDescent="0.3">
      <c r="A25" s="7"/>
      <c r="B25" s="7"/>
      <c r="C25" s="7"/>
      <c r="D25" s="7"/>
      <c r="E25" s="7"/>
      <c r="F25" s="7"/>
      <c r="G25" s="7"/>
      <c r="H25" s="7"/>
    </row>
    <row r="26" spans="1:8" ht="79.5" customHeight="1" x14ac:dyDescent="0.3">
      <c r="A26" s="7"/>
      <c r="B26" s="7"/>
      <c r="C26" s="7"/>
      <c r="D26" s="7"/>
      <c r="E26" s="7"/>
      <c r="F26" s="7"/>
      <c r="G26" s="7"/>
      <c r="H26" s="7"/>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zoomScaleNormal="100" workbookViewId="0">
      <selection activeCell="F4" sqref="F4"/>
    </sheetView>
  </sheetViews>
  <sheetFormatPr defaultColWidth="8.5546875" defaultRowHeight="14.4" x14ac:dyDescent="0.3"/>
  <cols>
    <col min="1" max="1" width="18" customWidth="1"/>
    <col min="2" max="2" width="26" customWidth="1"/>
    <col min="3" max="3" width="42" customWidth="1"/>
    <col min="4" max="4" width="50" customWidth="1"/>
    <col min="5" max="5" width="42" customWidth="1"/>
    <col min="6" max="6" width="50" customWidth="1"/>
  </cols>
  <sheetData>
    <row r="1" spans="1:6" ht="14.25" customHeight="1" x14ac:dyDescent="0.3">
      <c r="A1" s="17" t="s">
        <v>47</v>
      </c>
      <c r="B1" s="15"/>
      <c r="C1" s="15"/>
      <c r="D1" s="15"/>
      <c r="E1" s="15"/>
      <c r="F1" s="15"/>
    </row>
    <row r="2" spans="1:6" ht="39.75" customHeight="1" x14ac:dyDescent="0.3">
      <c r="A2" s="6" t="s">
        <v>48</v>
      </c>
      <c r="B2" s="6" t="s">
        <v>49</v>
      </c>
      <c r="C2" s="6" t="s">
        <v>50</v>
      </c>
      <c r="D2" s="6" t="s">
        <v>51</v>
      </c>
      <c r="E2" s="6" t="s">
        <v>52</v>
      </c>
      <c r="F2" s="6" t="s">
        <v>53</v>
      </c>
    </row>
    <row r="3" spans="1:6" ht="105" customHeight="1" x14ac:dyDescent="0.3">
      <c r="A3" s="7" t="s">
        <v>10</v>
      </c>
      <c r="B3" s="7" t="s">
        <v>54</v>
      </c>
      <c r="C3" s="7" t="s">
        <v>86</v>
      </c>
      <c r="D3" s="7" t="s">
        <v>77</v>
      </c>
      <c r="E3" s="7" t="s">
        <v>87</v>
      </c>
      <c r="F3" s="7" t="s">
        <v>75</v>
      </c>
    </row>
    <row r="4" spans="1:6" ht="75" customHeight="1" x14ac:dyDescent="0.3">
      <c r="A4" s="7" t="s">
        <v>18</v>
      </c>
      <c r="B4" s="7" t="s">
        <v>54</v>
      </c>
      <c r="C4" s="7" t="s">
        <v>55</v>
      </c>
      <c r="D4" s="7" t="s">
        <v>56</v>
      </c>
      <c r="E4" s="7" t="s">
        <v>88</v>
      </c>
      <c r="F4" s="7" t="s">
        <v>76</v>
      </c>
    </row>
    <row r="5" spans="1:6" ht="60" customHeight="1" x14ac:dyDescent="0.3">
      <c r="A5" s="7"/>
      <c r="B5" s="7"/>
      <c r="C5" s="7"/>
      <c r="D5" s="7"/>
      <c r="E5" s="7"/>
      <c r="F5" s="7"/>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9" spans="1:6" ht="18" customHeight="1" x14ac:dyDescent="0.35">
      <c r="A29" s="1" t="s">
        <v>57</v>
      </c>
    </row>
    <row r="30" spans="1:6" x14ac:dyDescent="0.3">
      <c r="A30" s="10" t="s">
        <v>58</v>
      </c>
      <c r="B30" s="10" t="s">
        <v>59</v>
      </c>
      <c r="C30" s="10" t="s">
        <v>60</v>
      </c>
    </row>
    <row r="31" spans="1:6" ht="31.95" customHeight="1" x14ac:dyDescent="0.3">
      <c r="A31" s="7" t="s">
        <v>61</v>
      </c>
      <c r="B31" s="7" t="s">
        <v>62</v>
      </c>
      <c r="C31" s="7" t="s">
        <v>63</v>
      </c>
    </row>
    <row r="32" spans="1:6" ht="31.95" customHeight="1" x14ac:dyDescent="0.3">
      <c r="A32" s="7" t="s">
        <v>64</v>
      </c>
      <c r="B32" s="7" t="s">
        <v>65</v>
      </c>
      <c r="C32" s="7" t="s">
        <v>66</v>
      </c>
    </row>
    <row r="33" spans="1:3" ht="31.95" customHeight="1" x14ac:dyDescent="0.3">
      <c r="A33" s="7" t="s">
        <v>67</v>
      </c>
      <c r="B33" s="7" t="s">
        <v>68</v>
      </c>
      <c r="C33" s="7" t="s">
        <v>69</v>
      </c>
    </row>
    <row r="34" spans="1:3" ht="31.95" customHeight="1" x14ac:dyDescent="0.3">
      <c r="A34" s="7" t="s">
        <v>70</v>
      </c>
      <c r="B34" s="7" t="s">
        <v>71</v>
      </c>
      <c r="C34" s="7" t="s">
        <v>72</v>
      </c>
    </row>
    <row r="35" spans="1:3" ht="48" customHeight="1" x14ac:dyDescent="0.3">
      <c r="A35" s="7" t="s">
        <v>54</v>
      </c>
      <c r="B35" s="7" t="s">
        <v>73</v>
      </c>
      <c r="C35" s="7" t="s">
        <v>74</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Metadata &amp; Summary</vt:lpstr>
      <vt:lpstr>2. Detailed Audit Log</vt:lpstr>
      <vt:lpstr>3. Hallucination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3</cp:revision>
  <dcterms:created xsi:type="dcterms:W3CDTF">2026-05-07T22:28:42Z</dcterms:created>
  <dcterms:modified xsi:type="dcterms:W3CDTF">2026-10-26T14:14:47Z</dcterms:modified>
  <dc:language>en-US</dc:language>
</cp:coreProperties>
</file>