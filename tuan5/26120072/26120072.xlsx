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baitap\tuan5\"/>
    </mc:Choice>
  </mc:AlternateContent>
  <xr:revisionPtr revIDLastSave="0" documentId="13_ncr:1_{05872699-5BFA-4054-B2E1-7E29F4497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Luo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G4" i="1"/>
  <c r="G11" i="1"/>
  <c r="F11" i="1"/>
  <c r="G10" i="1"/>
  <c r="F10" i="1"/>
  <c r="I10" i="1" s="1"/>
  <c r="G9" i="1"/>
  <c r="F9" i="1"/>
  <c r="I9" i="1" s="1"/>
  <c r="G8" i="1"/>
  <c r="F8" i="1"/>
  <c r="G7" i="1"/>
  <c r="F7" i="1"/>
  <c r="G6" i="1"/>
  <c r="F6" i="1"/>
  <c r="I6" i="1" s="1"/>
  <c r="G5" i="1"/>
  <c r="F5" i="1"/>
  <c r="F4" i="1"/>
  <c r="I4" i="1" s="1"/>
  <c r="I8" i="1" l="1"/>
  <c r="J8" i="1" s="1"/>
  <c r="I7" i="1"/>
  <c r="J7" i="1" s="1"/>
  <c r="I11" i="1"/>
  <c r="J11" i="1" s="1"/>
  <c r="I5" i="1"/>
  <c r="J5" i="1" s="1"/>
  <c r="J10" i="1"/>
  <c r="J9" i="1"/>
  <c r="J6" i="1"/>
  <c r="J4" i="1"/>
  <c r="K11" i="1" l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</calcChain>
</file>

<file path=xl/sharedStrings.xml><?xml version="1.0" encoding="utf-8"?>
<sst xmlns="http://schemas.openxmlformats.org/spreadsheetml/2006/main" count="47" uniqueCount="39">
  <si>
    <t>Mã số</t>
  </si>
  <si>
    <t>Tên NV</t>
  </si>
  <si>
    <t>LCB</t>
  </si>
  <si>
    <t>Ngày công</t>
  </si>
  <si>
    <t>Xếp loại</t>
  </si>
  <si>
    <t>Số tiền lãnh</t>
  </si>
  <si>
    <t>Thu nhập</t>
  </si>
  <si>
    <t>Thuế</t>
  </si>
  <si>
    <t>Thực lãnh</t>
  </si>
  <si>
    <t>Phụ cấp</t>
  </si>
  <si>
    <t>Lương</t>
  </si>
  <si>
    <t>Thưởng</t>
  </si>
  <si>
    <t>E001</t>
  </si>
  <si>
    <t>Tin</t>
  </si>
  <si>
    <t>D002</t>
  </si>
  <si>
    <t>Huệ</t>
  </si>
  <si>
    <t>Lan</t>
  </si>
  <si>
    <t>B003</t>
  </si>
  <si>
    <t>Thương</t>
  </si>
  <si>
    <t>A001</t>
  </si>
  <si>
    <t>An</t>
  </si>
  <si>
    <t>C004</t>
  </si>
  <si>
    <t>Dong</t>
  </si>
  <si>
    <t>B002</t>
  </si>
  <si>
    <t>Chu</t>
  </si>
  <si>
    <t>C003</t>
  </si>
  <si>
    <t>Chiến</t>
  </si>
  <si>
    <t>Bảng phụ cấp</t>
  </si>
  <si>
    <t>Bảng tiền thưởng</t>
  </si>
  <si>
    <t>Thuế thu nhập</t>
  </si>
  <si>
    <t>PCCV</t>
  </si>
  <si>
    <t>Loại</t>
  </si>
  <si>
    <t>A</t>
  </si>
  <si>
    <t>B</t>
  </si>
  <si>
    <t>C</t>
  </si>
  <si>
    <t>D</t>
  </si>
  <si>
    <t>E</t>
  </si>
  <si>
    <r>
      <t xml:space="preserve">BẢNG LƯƠNG THÁNG 12/2006
</t>
    </r>
    <r>
      <rPr>
        <b/>
        <sz val="13"/>
        <color theme="0"/>
        <rFont val="Arial"/>
        <family val="2"/>
        <scheme val="minor"/>
      </rPr>
      <t>Ngày công quy định : 25</t>
    </r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</si>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</sst>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13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E4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4E4E4"/>
      <color rgb="FF6699FF"/>
      <color rgb="FF339933"/>
      <color rgb="FF00CC66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A2" sqref="A2"/>
    </sheetView>
  </sheetViews>
  <sheetFormatPr defaultRowHeight="13.8" x14ac:dyDescent="0.25"/>
  <cols>
    <col min="1" max="1" width="7.59765625" customWidth="1"/>
    <col min="2" max="2" width="8" customWidth="1"/>
    <col min="3" max="3" width="12" customWidth="1"/>
    <col min="4" max="4" width="8" customWidth="1"/>
    <col min="5" max="5" width="10" customWidth="1"/>
    <col min="6" max="9" width="9" customWidth="1"/>
    <col min="10" max="10" width="10" customWidth="1"/>
    <col min="11" max="11" width="9" customWidth="1"/>
    <col min="12" max="12" width="10" customWidth="1"/>
  </cols>
  <sheetData>
    <row r="1" spans="1:12" ht="53.4" customHeight="1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2" t="s">
        <v>38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1" t="s">
        <v>5</v>
      </c>
      <c r="H2" s="11"/>
      <c r="I2" s="11"/>
      <c r="J2" s="2" t="s">
        <v>6</v>
      </c>
      <c r="K2" s="2" t="s">
        <v>7</v>
      </c>
      <c r="L2" s="2" t="s">
        <v>8</v>
      </c>
    </row>
    <row r="3" spans="1:12" x14ac:dyDescent="0.25">
      <c r="A3" s="3"/>
      <c r="B3" s="3"/>
      <c r="C3" s="3"/>
      <c r="D3" s="3"/>
      <c r="E3" s="3"/>
      <c r="F3" s="3"/>
      <c r="G3" s="1" t="s">
        <v>9</v>
      </c>
      <c r="H3" s="1" t="s">
        <v>10</v>
      </c>
      <c r="I3" s="1" t="s">
        <v>11</v>
      </c>
      <c r="J3" s="3"/>
      <c r="K3" s="3"/>
      <c r="L3" s="3"/>
    </row>
    <row r="4" spans="1:12" x14ac:dyDescent="0.25">
      <c r="A4" s="6">
        <v>1</v>
      </c>
      <c r="B4" s="6" t="s">
        <v>12</v>
      </c>
      <c r="C4" s="6" t="s">
        <v>13</v>
      </c>
      <c r="D4" s="6">
        <v>370</v>
      </c>
      <c r="E4" s="6">
        <v>24</v>
      </c>
      <c r="F4" s="6" t="str">
        <f t="shared" ref="F4:F11" si="0">IF(E4&gt;=27,"A",IF(E4&gt;=26,"B",IF(E4&gt;=25,"C","D")))</f>
        <v>D</v>
      </c>
      <c r="G4" s="6">
        <f t="shared" ref="G4:G11" si="1">VLOOKUP(LEFT(B4,1),$B$15:$C$19,2,0)</f>
        <v>80</v>
      </c>
      <c r="H4" s="6">
        <f t="shared" ref="H4:H11" si="2">IF(E4&gt;25,D4*25+2*D4*(E4-25),D4*E4)</f>
        <v>8880</v>
      </c>
      <c r="I4" s="6">
        <f t="shared" ref="I4:I11" si="3">IF(F4="D",0,VLOOKUP(F4,$E$15:$F$17,2,0)*H4)</f>
        <v>0</v>
      </c>
      <c r="J4" s="6">
        <f t="shared" ref="J4:J11" si="4">G4+H4+I4</f>
        <v>8960</v>
      </c>
      <c r="K4" s="6">
        <f t="shared" ref="K4:K11" si="5">J4*IF(J4&gt;=14000,9%,IF(J4&gt;=12000,7%,IF(J4&gt;=10000,4%,IF(J4&gt;=9000,2%,0))))</f>
        <v>0</v>
      </c>
      <c r="L4" s="6">
        <f t="shared" ref="L4:L11" si="6">ROUND(J4-K4,0)</f>
        <v>8960</v>
      </c>
    </row>
    <row r="5" spans="1:12" x14ac:dyDescent="0.25">
      <c r="A5" s="9">
        <v>2</v>
      </c>
      <c r="B5" s="9" t="s">
        <v>14</v>
      </c>
      <c r="C5" s="9" t="s">
        <v>15</v>
      </c>
      <c r="D5" s="9">
        <v>350</v>
      </c>
      <c r="E5" s="9">
        <v>26</v>
      </c>
      <c r="F5" s="9" t="str">
        <f t="shared" si="0"/>
        <v>B</v>
      </c>
      <c r="G5" s="9">
        <f t="shared" si="1"/>
        <v>90</v>
      </c>
      <c r="H5" s="9">
        <f t="shared" si="2"/>
        <v>9450</v>
      </c>
      <c r="I5" s="9">
        <f t="shared" si="3"/>
        <v>1890</v>
      </c>
      <c r="J5" s="9">
        <f t="shared" si="4"/>
        <v>11430</v>
      </c>
      <c r="K5" s="9">
        <f t="shared" si="5"/>
        <v>457.2</v>
      </c>
      <c r="L5" s="9">
        <f t="shared" si="6"/>
        <v>10973</v>
      </c>
    </row>
    <row r="6" spans="1:12" x14ac:dyDescent="0.25">
      <c r="A6" s="6">
        <v>3</v>
      </c>
      <c r="B6" s="6" t="s">
        <v>12</v>
      </c>
      <c r="C6" s="6" t="s">
        <v>16</v>
      </c>
      <c r="D6" s="6">
        <v>360</v>
      </c>
      <c r="E6" s="6">
        <v>26</v>
      </c>
      <c r="F6" s="6" t="str">
        <f t="shared" si="0"/>
        <v>B</v>
      </c>
      <c r="G6" s="6">
        <f t="shared" si="1"/>
        <v>80</v>
      </c>
      <c r="H6" s="6">
        <f t="shared" si="2"/>
        <v>9720</v>
      </c>
      <c r="I6" s="6">
        <f t="shared" si="3"/>
        <v>1944</v>
      </c>
      <c r="J6" s="6">
        <f t="shared" si="4"/>
        <v>11744</v>
      </c>
      <c r="K6" s="6">
        <f t="shared" si="5"/>
        <v>469.76</v>
      </c>
      <c r="L6" s="6">
        <f t="shared" si="6"/>
        <v>11274</v>
      </c>
    </row>
    <row r="7" spans="1:12" x14ac:dyDescent="0.25">
      <c r="A7" s="9">
        <v>4</v>
      </c>
      <c r="B7" s="9" t="s">
        <v>17</v>
      </c>
      <c r="C7" s="9" t="s">
        <v>18</v>
      </c>
      <c r="D7" s="9">
        <v>320</v>
      </c>
      <c r="E7" s="9">
        <v>28</v>
      </c>
      <c r="F7" s="9" t="str">
        <f t="shared" si="0"/>
        <v>A</v>
      </c>
      <c r="G7" s="9">
        <f t="shared" si="1"/>
        <v>120</v>
      </c>
      <c r="H7" s="9">
        <f t="shared" si="2"/>
        <v>9920</v>
      </c>
      <c r="I7" s="9">
        <f t="shared" si="3"/>
        <v>2976</v>
      </c>
      <c r="J7" s="9">
        <f t="shared" si="4"/>
        <v>13016</v>
      </c>
      <c r="K7" s="9">
        <f t="shared" si="5"/>
        <v>911.12000000000012</v>
      </c>
      <c r="L7" s="9">
        <f t="shared" si="6"/>
        <v>12105</v>
      </c>
    </row>
    <row r="8" spans="1:12" x14ac:dyDescent="0.25">
      <c r="A8" s="6">
        <v>5</v>
      </c>
      <c r="B8" s="6" t="s">
        <v>19</v>
      </c>
      <c r="C8" s="6" t="s">
        <v>20</v>
      </c>
      <c r="D8" s="6">
        <v>480</v>
      </c>
      <c r="E8" s="6">
        <v>25</v>
      </c>
      <c r="F8" s="6" t="str">
        <f t="shared" si="0"/>
        <v>C</v>
      </c>
      <c r="G8" s="6">
        <f t="shared" si="1"/>
        <v>150</v>
      </c>
      <c r="H8" s="6">
        <f t="shared" si="2"/>
        <v>12000</v>
      </c>
      <c r="I8" s="6">
        <f t="shared" si="3"/>
        <v>1200</v>
      </c>
      <c r="J8" s="6">
        <f t="shared" si="4"/>
        <v>13350</v>
      </c>
      <c r="K8" s="6">
        <f t="shared" si="5"/>
        <v>934.50000000000011</v>
      </c>
      <c r="L8" s="6">
        <f t="shared" si="6"/>
        <v>12416</v>
      </c>
    </row>
    <row r="9" spans="1:12" x14ac:dyDescent="0.25">
      <c r="A9" s="9">
        <v>6</v>
      </c>
      <c r="B9" s="9" t="s">
        <v>21</v>
      </c>
      <c r="C9" s="9" t="s">
        <v>22</v>
      </c>
      <c r="D9" s="9">
        <v>490</v>
      </c>
      <c r="E9" s="9">
        <v>25</v>
      </c>
      <c r="F9" s="9" t="str">
        <f t="shared" si="0"/>
        <v>C</v>
      </c>
      <c r="G9" s="9">
        <f t="shared" si="1"/>
        <v>110</v>
      </c>
      <c r="H9" s="9">
        <f t="shared" si="2"/>
        <v>12250</v>
      </c>
      <c r="I9" s="9">
        <f t="shared" si="3"/>
        <v>1225</v>
      </c>
      <c r="J9" s="9">
        <f t="shared" si="4"/>
        <v>13585</v>
      </c>
      <c r="K9" s="9">
        <f t="shared" si="5"/>
        <v>950.95</v>
      </c>
      <c r="L9" s="9">
        <f t="shared" si="6"/>
        <v>12634</v>
      </c>
    </row>
    <row r="10" spans="1:12" x14ac:dyDescent="0.25">
      <c r="A10" s="6">
        <v>7</v>
      </c>
      <c r="B10" s="6" t="s">
        <v>23</v>
      </c>
      <c r="C10" s="6" t="s">
        <v>24</v>
      </c>
      <c r="D10" s="6">
        <v>450</v>
      </c>
      <c r="E10" s="6">
        <v>26</v>
      </c>
      <c r="F10" s="6" t="str">
        <f t="shared" si="0"/>
        <v>B</v>
      </c>
      <c r="G10" s="6">
        <f t="shared" si="1"/>
        <v>120</v>
      </c>
      <c r="H10" s="6">
        <f t="shared" si="2"/>
        <v>12150</v>
      </c>
      <c r="I10" s="6">
        <f t="shared" si="3"/>
        <v>2430</v>
      </c>
      <c r="J10" s="6">
        <f t="shared" si="4"/>
        <v>14700</v>
      </c>
      <c r="K10" s="6">
        <f t="shared" si="5"/>
        <v>1323</v>
      </c>
      <c r="L10" s="6">
        <f t="shared" si="6"/>
        <v>13377</v>
      </c>
    </row>
    <row r="11" spans="1:12" x14ac:dyDescent="0.25">
      <c r="A11" s="9">
        <v>8</v>
      </c>
      <c r="B11" s="9" t="s">
        <v>25</v>
      </c>
      <c r="C11" s="9" t="s">
        <v>26</v>
      </c>
      <c r="D11" s="9">
        <v>390</v>
      </c>
      <c r="E11" s="9">
        <v>27</v>
      </c>
      <c r="F11" s="9" t="str">
        <f t="shared" si="0"/>
        <v>A</v>
      </c>
      <c r="G11" s="9">
        <f t="shared" si="1"/>
        <v>110</v>
      </c>
      <c r="H11" s="9">
        <f t="shared" si="2"/>
        <v>11310</v>
      </c>
      <c r="I11" s="9">
        <f t="shared" si="3"/>
        <v>3393</v>
      </c>
      <c r="J11" s="9">
        <f t="shared" si="4"/>
        <v>14813</v>
      </c>
      <c r="K11" s="9">
        <f t="shared" si="5"/>
        <v>1333.1699999999998</v>
      </c>
      <c r="L11" s="9">
        <f t="shared" si="6"/>
        <v>13480</v>
      </c>
    </row>
    <row r="13" spans="1:12" x14ac:dyDescent="0.25">
      <c r="B13" s="14" t="s">
        <v>27</v>
      </c>
      <c r="C13" s="14"/>
      <c r="D13" s="4"/>
      <c r="E13" s="14" t="s">
        <v>28</v>
      </c>
      <c r="F13" s="14"/>
      <c r="G13" s="4"/>
      <c r="H13" s="14" t="s">
        <v>29</v>
      </c>
      <c r="I13" s="14"/>
    </row>
    <row r="14" spans="1:12" x14ac:dyDescent="0.25">
      <c r="B14" s="5" t="s">
        <v>0</v>
      </c>
      <c r="C14" s="5" t="s">
        <v>30</v>
      </c>
      <c r="D14" s="4"/>
      <c r="E14" s="5" t="s">
        <v>31</v>
      </c>
      <c r="F14" s="5" t="s">
        <v>11</v>
      </c>
      <c r="G14" s="4"/>
      <c r="H14" s="5" t="s">
        <v>6</v>
      </c>
      <c r="I14" s="5" t="s">
        <v>7</v>
      </c>
    </row>
    <row r="15" spans="1:12" x14ac:dyDescent="0.25">
      <c r="B15" s="6" t="s">
        <v>32</v>
      </c>
      <c r="C15" s="6">
        <v>150</v>
      </c>
      <c r="D15" s="4"/>
      <c r="E15" s="6" t="s">
        <v>32</v>
      </c>
      <c r="F15" s="7">
        <v>0.3</v>
      </c>
      <c r="G15" s="4"/>
      <c r="H15" s="6">
        <v>9000</v>
      </c>
      <c r="I15" s="7">
        <v>0.02</v>
      </c>
    </row>
    <row r="16" spans="1:12" x14ac:dyDescent="0.25">
      <c r="B16" s="8" t="s">
        <v>33</v>
      </c>
      <c r="C16" s="8">
        <v>120</v>
      </c>
      <c r="D16" s="4"/>
      <c r="E16" s="9" t="s">
        <v>33</v>
      </c>
      <c r="F16" s="10">
        <v>0.2</v>
      </c>
      <c r="G16" s="4"/>
      <c r="H16" s="9">
        <v>10000</v>
      </c>
      <c r="I16" s="10">
        <v>0.04</v>
      </c>
    </row>
    <row r="17" spans="2:9" x14ac:dyDescent="0.25">
      <c r="B17" s="6" t="s">
        <v>34</v>
      </c>
      <c r="C17" s="6">
        <v>110</v>
      </c>
      <c r="D17" s="4"/>
      <c r="E17" s="6" t="s">
        <v>34</v>
      </c>
      <c r="F17" s="7">
        <v>0.1</v>
      </c>
      <c r="G17" s="4"/>
      <c r="H17" s="6">
        <v>12000</v>
      </c>
      <c r="I17" s="7">
        <v>7.0000000000000007E-2</v>
      </c>
    </row>
    <row r="18" spans="2:9" x14ac:dyDescent="0.25">
      <c r="B18" s="9" t="s">
        <v>35</v>
      </c>
      <c r="C18" s="9">
        <v>90</v>
      </c>
      <c r="D18" s="4"/>
      <c r="E18" s="4"/>
      <c r="F18" s="4"/>
      <c r="G18" s="4"/>
      <c r="H18" s="9">
        <v>14000</v>
      </c>
      <c r="I18" s="10">
        <v>0.09</v>
      </c>
    </row>
    <row r="19" spans="2:9" x14ac:dyDescent="0.25">
      <c r="B19" s="6" t="s">
        <v>36</v>
      </c>
      <c r="C19" s="6">
        <v>80</v>
      </c>
      <c r="D19" s="4"/>
      <c r="E19" s="4"/>
      <c r="F19" s="4"/>
      <c r="G19" s="4"/>
      <c r="H19" s="4"/>
      <c r="I19" s="4"/>
    </row>
  </sheetData>
  <sortState xmlns:xlrd2="http://schemas.microsoft.com/office/spreadsheetml/2017/richdata2" ref="A4:L11">
    <sortCondition ref="A4:A11"/>
  </sortState>
  <mergeCells count="4">
    <mergeCell ref="A1:L1"/>
    <mergeCell ref="B13:C13"/>
    <mergeCell ref="E13:F13"/>
    <mergeCell ref="H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2026-10-15T02:49:22Z</dcterms:created>
  <dcterms:modified xsi:type="dcterms:W3CDTF">2026-10-19T04:38:49Z</dcterms:modified>
</cp:coreProperties>
</file>