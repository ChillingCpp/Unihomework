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L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8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9" customWidth="1" min="11" max="11"/>
    <col width="10" customWidth="1" min="12" max="12"/>
  </cols>
  <sheetData>
    <row r="1">
      <c r="A1" t="inlineStr">
        <is>
          <t>BẢNG LƯƠNG THÁNG 12/2006</t>
        </is>
      </c>
    </row>
    <row r="2">
      <c r="A2" t="inlineStr">
        <is>
          <t>Ngày công quy định:</t>
        </is>
      </c>
      <c r="B2" t="n">
        <v>25</v>
      </c>
    </row>
    <row r="3">
      <c r="A3" t="inlineStr">
        <is>
          <t>Stt</t>
        </is>
      </c>
      <c r="B3" t="inlineStr">
        <is>
          <t>Mã số</t>
        </is>
      </c>
      <c r="C3" t="inlineStr">
        <is>
          <t>Tên NV</t>
        </is>
      </c>
      <c r="D3" t="inlineStr">
        <is>
          <t>LCB</t>
        </is>
      </c>
      <c r="E3" t="inlineStr">
        <is>
          <t>Ngày công</t>
        </is>
      </c>
      <c r="F3" t="inlineStr">
        <is>
          <t>Xếp loại</t>
        </is>
      </c>
      <c r="G3" t="inlineStr">
        <is>
          <t>Số tiền lãnh</t>
        </is>
      </c>
      <c r="J3" t="inlineStr">
        <is>
          <t>Thu nhập</t>
        </is>
      </c>
      <c r="K3" t="inlineStr">
        <is>
          <t>Thuế</t>
        </is>
      </c>
      <c r="L3" t="inlineStr">
        <is>
          <t>Thực lãnh</t>
        </is>
      </c>
    </row>
    <row r="4">
      <c r="G4" t="inlineStr">
        <is>
          <t>Phụ cấp</t>
        </is>
      </c>
      <c r="H4" t="inlineStr">
        <is>
          <t>Lương</t>
        </is>
      </c>
      <c r="I4" t="inlineStr">
        <is>
          <t>Thưởng</t>
        </is>
      </c>
    </row>
    <row r="5">
      <c r="A5" t="n">
        <v>1</v>
      </c>
      <c r="B5" t="inlineStr">
        <is>
          <t>E001</t>
        </is>
      </c>
      <c r="C5" t="inlineStr">
        <is>
          <t>Tin</t>
        </is>
      </c>
      <c r="D5" t="n">
        <v>370</v>
      </c>
      <c r="E5" t="n">
        <v>24</v>
      </c>
      <c r="F5">
        <f>IF(E5&gt;=27,"A",IF(E5&gt;=26,"B",IF(E5&gt;=25,"C","D")))</f>
        <v/>
      </c>
      <c r="G5">
        <f>VLOOKUP(LEFT(B5,1),$B$16:$C$20,2,0)</f>
        <v/>
      </c>
      <c r="H5">
        <f>IF(E5&gt;$B$2,D5*$B$2+2*D5*(E5-$B$2),D5*E5)</f>
        <v/>
      </c>
      <c r="I5">
        <f>IF(F5="D",0,VLOOKUP(F5,$E$16:$F$18,2,0)*H5)</f>
        <v/>
      </c>
      <c r="J5">
        <f>G5+H5+I5</f>
        <v/>
      </c>
      <c r="K5">
        <f>J5*IF(J5&gt;=14000,9%,IF(J5&gt;=12000,7%,IF(J5&gt;=10000,4%,IF(J5&gt;=9000,2%,0))))</f>
        <v/>
      </c>
      <c r="L5">
        <f>ROUND(J5-K5,0)</f>
        <v/>
      </c>
    </row>
    <row r="6">
      <c r="A6" t="n">
        <v>2</v>
      </c>
      <c r="B6" t="inlineStr">
        <is>
          <t>D002</t>
        </is>
      </c>
      <c r="C6" t="inlineStr">
        <is>
          <t>Huệ</t>
        </is>
      </c>
      <c r="D6" t="n">
        <v>350</v>
      </c>
      <c r="E6" t="n">
        <v>26</v>
      </c>
      <c r="F6">
        <f>IF(E6&gt;=27,"A",IF(E6&gt;=26,"B",IF(E6&gt;=25,"C","D")))</f>
        <v/>
      </c>
      <c r="G6">
        <f>VLOOKUP(LEFT(B6,1),$B$16:$C$20,2,0)</f>
        <v/>
      </c>
      <c r="H6">
        <f>IF(E6&gt;$B$2,D6*$B$2+2*D6*(E6-$B$2),D6*E6)</f>
        <v/>
      </c>
      <c r="I6">
        <f>IF(F6="D",0,VLOOKUP(F6,$E$16:$F$18,2,0)*H6)</f>
        <v/>
      </c>
      <c r="J6">
        <f>G6+H6+I6</f>
        <v/>
      </c>
      <c r="K6">
        <f>J6*IF(J6&gt;=14000,9%,IF(J6&gt;=12000,7%,IF(J6&gt;=10000,4%,IF(J6&gt;=9000,2%,0))))</f>
        <v/>
      </c>
      <c r="L6">
        <f>ROUND(J6-K6,0)</f>
        <v/>
      </c>
    </row>
    <row r="7">
      <c r="A7" t="n">
        <v>3</v>
      </c>
      <c r="B7" t="inlineStr">
        <is>
          <t>E001</t>
        </is>
      </c>
      <c r="C7" t="inlineStr">
        <is>
          <t>Lan</t>
        </is>
      </c>
      <c r="D7" t="n">
        <v>360</v>
      </c>
      <c r="E7" t="n">
        <v>26</v>
      </c>
      <c r="F7">
        <f>IF(E7&gt;=27,"A",IF(E7&gt;=26,"B",IF(E7&gt;=25,"C","D")))</f>
        <v/>
      </c>
      <c r="G7">
        <f>VLOOKUP(LEFT(B7,1),$B$16:$C$20,2,0)</f>
        <v/>
      </c>
      <c r="H7">
        <f>IF(E7&gt;$B$2,D7*$B$2+2*D7*(E7-$B$2),D7*E7)</f>
        <v/>
      </c>
      <c r="I7">
        <f>IF(F7="D",0,VLOOKUP(F7,$E$16:$F$18,2,0)*H7)</f>
        <v/>
      </c>
      <c r="J7">
        <f>G7+H7+I7</f>
        <v/>
      </c>
      <c r="K7">
        <f>J7*IF(J7&gt;=14000,9%,IF(J7&gt;=12000,7%,IF(J7&gt;=10000,4%,IF(J7&gt;=9000,2%,0))))</f>
        <v/>
      </c>
      <c r="L7">
        <f>ROUND(J7-K7,0)</f>
        <v/>
      </c>
    </row>
    <row r="8">
      <c r="A8" t="n">
        <v>4</v>
      </c>
      <c r="B8" t="inlineStr">
        <is>
          <t>B003</t>
        </is>
      </c>
      <c r="C8" t="inlineStr">
        <is>
          <t>Thương</t>
        </is>
      </c>
      <c r="D8" t="n">
        <v>320</v>
      </c>
      <c r="E8" t="n">
        <v>28</v>
      </c>
      <c r="F8">
        <f>IF(E8&gt;=27,"A",IF(E8&gt;=26,"B",IF(E8&gt;=25,"C","D")))</f>
        <v/>
      </c>
      <c r="G8">
        <f>VLOOKUP(LEFT(B8,1),$B$16:$C$20,2,0)</f>
        <v/>
      </c>
      <c r="H8">
        <f>IF(E8&gt;$B$2,D8*$B$2+2*D8*(E8-$B$2),D8*E8)</f>
        <v/>
      </c>
      <c r="I8">
        <f>IF(F8="D",0,VLOOKUP(F8,$E$16:$F$18,2,0)*H8)</f>
        <v/>
      </c>
      <c r="J8">
        <f>G8+H8+I8</f>
        <v/>
      </c>
      <c r="K8">
        <f>J8*IF(J8&gt;=14000,9%,IF(J8&gt;=12000,7%,IF(J8&gt;=10000,4%,IF(J8&gt;=9000,2%,0))))</f>
        <v/>
      </c>
      <c r="L8">
        <f>ROUND(J8-K8,0)</f>
        <v/>
      </c>
    </row>
    <row r="9">
      <c r="A9" t="n">
        <v>5</v>
      </c>
      <c r="B9" t="inlineStr">
        <is>
          <t>A001</t>
        </is>
      </c>
      <c r="C9" t="inlineStr">
        <is>
          <t>An</t>
        </is>
      </c>
      <c r="D9" t="n">
        <v>480</v>
      </c>
      <c r="E9" t="n">
        <v>25</v>
      </c>
      <c r="F9">
        <f>IF(E9&gt;=27,"A",IF(E9&gt;=26,"B",IF(E9&gt;=25,"C","D")))</f>
        <v/>
      </c>
      <c r="G9">
        <f>VLOOKUP(LEFT(B9,1),$B$16:$C$20,2,0)</f>
        <v/>
      </c>
      <c r="H9">
        <f>IF(E9&gt;$B$2,D9*$B$2+2*D9*(E9-$B$2),D9*E9)</f>
        <v/>
      </c>
      <c r="I9">
        <f>IF(F9="D",0,VLOOKUP(F9,$E$16:$F$18,2,0)*H9)</f>
        <v/>
      </c>
      <c r="J9">
        <f>G9+H9+I9</f>
        <v/>
      </c>
      <c r="K9">
        <f>J9*IF(J9&gt;=14000,9%,IF(J9&gt;=12000,7%,IF(J9&gt;=10000,4%,IF(J9&gt;=9000,2%,0))))</f>
        <v/>
      </c>
      <c r="L9">
        <f>ROUND(J9-K9,0)</f>
        <v/>
      </c>
    </row>
    <row r="10">
      <c r="A10" t="n">
        <v>6</v>
      </c>
      <c r="B10" t="inlineStr">
        <is>
          <t>C004</t>
        </is>
      </c>
      <c r="C10" t="inlineStr">
        <is>
          <t>Dong</t>
        </is>
      </c>
      <c r="D10" t="n">
        <v>490</v>
      </c>
      <c r="E10" t="n">
        <v>25</v>
      </c>
      <c r="F10">
        <f>IF(E10&gt;=27,"A",IF(E10&gt;=26,"B",IF(E10&gt;=25,"C","D")))</f>
        <v/>
      </c>
      <c r="G10">
        <f>VLOOKUP(LEFT(B10,1),$B$16:$C$20,2,0)</f>
        <v/>
      </c>
      <c r="H10">
        <f>IF(E10&gt;$B$2,D10*$B$2+2*D10*(E10-$B$2),D10*E10)</f>
        <v/>
      </c>
      <c r="I10">
        <f>IF(F10="D",0,VLOOKUP(F10,$E$16:$F$18,2,0)*H10)</f>
        <v/>
      </c>
      <c r="J10">
        <f>G10+H10+I10</f>
        <v/>
      </c>
      <c r="K10">
        <f>J10*IF(J10&gt;=14000,9%,IF(J10&gt;=12000,7%,IF(J10&gt;=10000,4%,IF(J10&gt;=9000,2%,0))))</f>
        <v/>
      </c>
      <c r="L10">
        <f>ROUND(J10-K10,0)</f>
        <v/>
      </c>
    </row>
    <row r="11">
      <c r="A11" t="n">
        <v>7</v>
      </c>
      <c r="B11" t="inlineStr">
        <is>
          <t>B002</t>
        </is>
      </c>
      <c r="C11" t="inlineStr">
        <is>
          <t>Chu</t>
        </is>
      </c>
      <c r="D11" t="n">
        <v>450</v>
      </c>
      <c r="E11" t="n">
        <v>26</v>
      </c>
      <c r="F11">
        <f>IF(E11&gt;=27,"A",IF(E11&gt;=26,"B",IF(E11&gt;=25,"C","D")))</f>
        <v/>
      </c>
      <c r="G11">
        <f>VLOOKUP(LEFT(B11,1),$B$16:$C$20,2,0)</f>
        <v/>
      </c>
      <c r="H11">
        <f>IF(E11&gt;$B$2,D11*$B$2+2*D11*(E11-$B$2),D11*E11)</f>
        <v/>
      </c>
      <c r="I11">
        <f>IF(F11="D",0,VLOOKUP(F11,$E$16:$F$18,2,0)*H11)</f>
        <v/>
      </c>
      <c r="J11">
        <f>G11+H11+I11</f>
        <v/>
      </c>
      <c r="K11">
        <f>J11*IF(J11&gt;=14000,9%,IF(J11&gt;=12000,7%,IF(J11&gt;=10000,4%,IF(J11&gt;=9000,2%,0))))</f>
        <v/>
      </c>
      <c r="L11">
        <f>ROUND(J11-K11,0)</f>
        <v/>
      </c>
    </row>
    <row r="12">
      <c r="A12" t="n">
        <v>8</v>
      </c>
      <c r="B12" t="inlineStr">
        <is>
          <t>C003</t>
        </is>
      </c>
      <c r="C12" t="inlineStr">
        <is>
          <t>Chiến</t>
        </is>
      </c>
      <c r="D12" t="n">
        <v>390</v>
      </c>
      <c r="E12" t="n">
        <v>27</v>
      </c>
      <c r="F12">
        <f>IF(E12&gt;=27,"A",IF(E12&gt;=26,"B",IF(E12&gt;=25,"C","D")))</f>
        <v/>
      </c>
      <c r="G12">
        <f>VLOOKUP(LEFT(B12,1),$B$16:$C$20,2,0)</f>
        <v/>
      </c>
      <c r="H12">
        <f>IF(E12&gt;$B$2,D12*$B$2+2*D12*(E12-$B$2),D12*E12)</f>
        <v/>
      </c>
      <c r="I12">
        <f>IF(F12="D",0,VLOOKUP(F12,$E$16:$F$18,2,0)*H12)</f>
        <v/>
      </c>
      <c r="J12">
        <f>G12+H12+I12</f>
        <v/>
      </c>
      <c r="K12">
        <f>J12*IF(J12&gt;=14000,9%,IF(J12&gt;=12000,7%,IF(J12&gt;=10000,4%,IF(J12&gt;=9000,2%,0))))</f>
        <v/>
      </c>
      <c r="L12">
        <f>ROUND(J12-K12,0)</f>
        <v/>
      </c>
    </row>
    <row r="14">
      <c r="B14" t="inlineStr">
        <is>
          <t>Bảng phụ cấp</t>
        </is>
      </c>
      <c r="E14" t="inlineStr">
        <is>
          <t>Bảng tiền thưởng</t>
        </is>
      </c>
      <c r="H14" t="inlineStr">
        <is>
          <t>Thuế thu nhập</t>
        </is>
      </c>
    </row>
    <row r="15">
      <c r="B15" t="inlineStr">
        <is>
          <t>Mã số</t>
        </is>
      </c>
      <c r="C15" t="inlineStr">
        <is>
          <t>PCCV</t>
        </is>
      </c>
      <c r="E15" t="inlineStr">
        <is>
          <t>Loại</t>
        </is>
      </c>
      <c r="F15" t="inlineStr">
        <is>
          <t>Thưởng</t>
        </is>
      </c>
      <c r="H15" t="inlineStr">
        <is>
          <t>Thu nhập</t>
        </is>
      </c>
      <c r="I15" t="inlineStr">
        <is>
          <t>Thuế</t>
        </is>
      </c>
    </row>
    <row r="16">
      <c r="B16" t="inlineStr">
        <is>
          <t>A</t>
        </is>
      </c>
      <c r="C16" t="n">
        <v>150</v>
      </c>
      <c r="E16" t="inlineStr">
        <is>
          <t>A</t>
        </is>
      </c>
      <c r="F16" s="1" t="n">
        <v>0.3</v>
      </c>
      <c r="H16" t="n">
        <v>9000</v>
      </c>
      <c r="I16" s="1" t="n">
        <v>0.02</v>
      </c>
    </row>
    <row r="17">
      <c r="B17" t="inlineStr">
        <is>
          <t>B</t>
        </is>
      </c>
      <c r="C17" t="n">
        <v>120</v>
      </c>
      <c r="E17" t="inlineStr">
        <is>
          <t>B</t>
        </is>
      </c>
      <c r="F17" s="1" t="n">
        <v>0.2</v>
      </c>
      <c r="H17" t="n">
        <v>10000</v>
      </c>
      <c r="I17" s="1" t="n">
        <v>0.04</v>
      </c>
    </row>
    <row r="18">
      <c r="B18" t="inlineStr">
        <is>
          <t>C</t>
        </is>
      </c>
      <c r="C18" t="n">
        <v>110</v>
      </c>
      <c r="E18" t="inlineStr">
        <is>
          <t>C</t>
        </is>
      </c>
      <c r="F18" s="1" t="n">
        <v>0.1</v>
      </c>
      <c r="H18" t="n">
        <v>12000</v>
      </c>
      <c r="I18" s="1" t="n">
        <v>0.07000000000000001</v>
      </c>
    </row>
    <row r="19">
      <c r="B19" t="inlineStr">
        <is>
          <t>D</t>
        </is>
      </c>
      <c r="C19" t="n">
        <v>90</v>
      </c>
      <c r="H19" t="n">
        <v>14000</v>
      </c>
      <c r="I19" s="1" t="n">
        <v>0.09</v>
      </c>
    </row>
    <row r="20">
      <c r="B20" t="inlineStr">
        <is>
          <t>E</t>
        </is>
      </c>
      <c r="C20" t="n">
        <v>80</v>
      </c>
    </row>
  </sheetData>
  <mergeCells count="5">
    <mergeCell ref="A1:L1"/>
    <mergeCell ref="B14:C14"/>
    <mergeCell ref="G3:I3"/>
    <mergeCell ref="E14:F14"/>
    <mergeCell ref="H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2026-10-15T02:49:22Z</dcterms:created>
  <dcterms:modified xsi:type="dcterms:W3CDTF">2026-10-15T02:49:22Z</dcterms:modified>
</cp:coreProperties>
</file>